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nknown\Desktop\"/>
    </mc:Choice>
  </mc:AlternateContent>
  <xr:revisionPtr revIDLastSave="0" documentId="13_ncr:1_{0B8C049E-9E5F-4165-AEA1-188604A97EB5}" xr6:coauthVersionLast="47" xr6:coauthVersionMax="47" xr10:uidLastSave="{00000000-0000-0000-0000-000000000000}"/>
  <bookViews>
    <workbookView xWindow="-120" yWindow="-120" windowWidth="20730" windowHeight="11160" xr2:uid="{1DE5EA13-C5DD-447E-B4B6-7098701CA9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A22" i="1" l="1"/>
  <c r="AA12" i="1"/>
  <c r="AA2" i="1"/>
</calcChain>
</file>

<file path=xl/sharedStrings.xml><?xml version="1.0" encoding="utf-8"?>
<sst xmlns="http://schemas.openxmlformats.org/spreadsheetml/2006/main" count="263" uniqueCount="71">
  <si>
    <t>Ghi chú</t>
  </si>
  <si>
    <t>STT</t>
  </si>
  <si>
    <t>HĐ</t>
  </si>
  <si>
    <t>Tình trạng ĐH</t>
  </si>
  <si>
    <t>Ngày nhận đơn</t>
  </si>
  <si>
    <t>NGÀY XUẤT HÀNG</t>
  </si>
  <si>
    <t>NGÀY HÀNG ĐẾN</t>
  </si>
  <si>
    <t>PKL,</t>
  </si>
  <si>
    <t>Người đặt hàng</t>
  </si>
  <si>
    <t>KHÁCH HÀNG</t>
  </si>
  <si>
    <t>BILLTO</t>
  </si>
  <si>
    <t>CONSIGNEE</t>
  </si>
  <si>
    <t>PL&amp; TK</t>
  </si>
  <si>
    <t>TỈNH</t>
  </si>
  <si>
    <t>STYLE</t>
  </si>
  <si>
    <t>PO</t>
  </si>
  <si>
    <t>SHEET</t>
  </si>
  <si>
    <t>pkl</t>
  </si>
  <si>
    <t>Mô tả</t>
  </si>
  <si>
    <t>MÃ GỐC</t>
  </si>
  <si>
    <t>MÃ HÀNG</t>
  </si>
  <si>
    <t>Color</t>
  </si>
  <si>
    <t>width</t>
  </si>
  <si>
    <t>ĐVT</t>
  </si>
  <si>
    <t>TRÒN CÂY</t>
  </si>
  <si>
    <t>Khách đặt</t>
  </si>
  <si>
    <t>Số ROLL</t>
  </si>
  <si>
    <t>giá usd nhân quy đổi</t>
  </si>
  <si>
    <t>tỷ giá</t>
  </si>
  <si>
    <t>Báo giá (USD)</t>
  </si>
  <si>
    <t>BAO GIA VND</t>
  </si>
  <si>
    <t>Doanh số USD</t>
  </si>
  <si>
    <t>DOANH SỐ (VNĐ)</t>
  </si>
  <si>
    <t>VAT</t>
  </si>
  <si>
    <t>Tổng VNĐ sau thuế</t>
  </si>
  <si>
    <t>MÃ KINH DOANH</t>
  </si>
  <si>
    <t>Mô tả hàng hóa</t>
  </si>
  <si>
    <t>Column6</t>
  </si>
  <si>
    <t>Column3</t>
  </si>
  <si>
    <t>Column2</t>
  </si>
  <si>
    <t>Column1</t>
  </si>
  <si>
    <t>ĐỊA CHỈ XUẤT HÓA ĐƠN</t>
  </si>
  <si>
    <t>BILLTO---</t>
  </si>
  <si>
    <t>ĐỊA CHỈ</t>
  </si>
  <si>
    <t>ĐỊA CHỈ GIAO HÀNG</t>
  </si>
  <si>
    <t>SHIP TO--</t>
  </si>
  <si>
    <t>ADRESS</t>
  </si>
  <si>
    <t>Column5</t>
  </si>
  <si>
    <t>SDT NGƯỜI NHẬN</t>
  </si>
  <si>
    <t>Column4</t>
  </si>
  <si>
    <t>Column9</t>
  </si>
  <si>
    <t>ichua</t>
  </si>
  <si>
    <t>5860629R</t>
  </si>
  <si>
    <t>5860629T</t>
  </si>
  <si>
    <t>5860671P</t>
  </si>
  <si>
    <t>5860671R</t>
  </si>
  <si>
    <t>5860671WR</t>
  </si>
  <si>
    <t>5860629R-CB</t>
  </si>
  <si>
    <t>5860629T-CB</t>
  </si>
  <si>
    <t>5860671P-CB</t>
  </si>
  <si>
    <t>5860671R-CB</t>
  </si>
  <si>
    <t>5860671WR-CB</t>
  </si>
  <si>
    <t>LL.BEAN-F26BULK-HDM-UB-11-2025-0291</t>
  </si>
  <si>
    <t>BẮC NINH</t>
  </si>
  <si>
    <t>UNICO BẮC GIANG</t>
  </si>
  <si>
    <t>UNICO</t>
  </si>
  <si>
    <t>LL.BEAN-F26BULK-HDM-UB-12-2025-0227</t>
  </si>
  <si>
    <t>5824868R</t>
  </si>
  <si>
    <t>5824868WR</t>
  </si>
  <si>
    <t>Ms Quỳnh</t>
  </si>
  <si>
    <t>SL GIAO TRÒN CÂY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</si>
</sst>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dd/mm"/>
    <numFmt numFmtId="165" formatCode="_-* #,##0.0_-;\-* #,##0.0_-;_-* &quot;-&quot;??_-;_-@"/>
    <numFmt numFmtId="166" formatCode="_-* #,##0.00_-;\-* #,##0.00_-;_-* &quot;-&quot;??_-;_-@"/>
    <numFmt numFmtId="167" formatCode="_-* #,##0.00000_-;\-* #,##0.00000_-;_-* &quot;-&quot;??_-;_-@"/>
    <numFmt numFmtId="168" formatCode="_-* #,##0_-;\-* #,##0_-;_-* &quot;-&quot;??_-;_-@"/>
    <numFmt numFmtId="169" formatCode="_-* #,##0.0000_-;\-* #,##0.0000_-;_-* &quot;-&quot;??_-;_-@"/>
    <numFmt numFmtId="170" formatCode="yyyy\-mm\-dd"/>
  </numFmts>
  <fonts count="6" x14ac:knownFonts="1">
    <font>
      <sz val="11"/>
      <color theme="1"/>
      <name val="Aptos Narrow"/>
      <family val="2"/>
      <scheme val="minor"/>
    </font>
    <font>
      <b/>
      <sz val="10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8"/>
      <color theme="1"/>
      <name val="Times New Roman"/>
      <family val="1"/>
    </font>
    <font>
      <b/>
      <sz val="11"/>
      <color theme="1"/>
      <name val="Times New Roman"/>
      <family val="1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1F0C8"/>
        <bgColor rgb="FFC1F0C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6" fontId="1" fillId="2" borderId="1" xfId="0" applyNumberFormat="1" applyFont="1" applyFill="1" applyBorder="1" applyAlignment="1">
      <alignment horizontal="center" vertical="center"/>
    </xf>
    <xf numFmtId="167" fontId="1" fillId="2" borderId="1" xfId="0" applyNumberFormat="1" applyFont="1" applyFill="1" applyBorder="1" applyAlignment="1">
      <alignment horizontal="center" vertical="center" wrapText="1"/>
    </xf>
    <xf numFmtId="168" fontId="1" fillId="2" borderId="1" xfId="0" applyNumberFormat="1" applyFont="1" applyFill="1" applyBorder="1" applyAlignment="1">
      <alignment horizontal="right" vertical="center"/>
    </xf>
    <xf numFmtId="169" fontId="1" fillId="2" borderId="1" xfId="0" applyNumberFormat="1" applyFont="1" applyFill="1" applyBorder="1" applyAlignment="1">
      <alignment horizontal="center" vertical="center"/>
    </xf>
    <xf numFmtId="166" fontId="1" fillId="2" borderId="1" xfId="0" applyNumberFormat="1" applyFont="1" applyFill="1" applyBorder="1" applyAlignment="1">
      <alignment horizontal="center" vertical="center" wrapText="1"/>
    </xf>
    <xf numFmtId="170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4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center"/>
    </xf>
    <xf numFmtId="14" fontId="0" fillId="0" borderId="1" xfId="0" applyNumberFormat="1" applyBorder="1"/>
    <xf numFmtId="14" fontId="0" fillId="0" borderId="1" xfId="0" applyNumberFormat="1" applyBorder="1" applyAlignment="1">
      <alignment horizontal="center"/>
    </xf>
    <xf numFmtId="165" fontId="2" fillId="2" borderId="1" xfId="0" applyNumberFormat="1" applyFont="1" applyFill="1" applyBorder="1" applyAlignment="1">
      <alignment horizontal="center" vertical="center" wrapText="1"/>
    </xf>
    <xf numFmtId="14" fontId="0" fillId="0" borderId="1" xfId="0" applyNumberFormat="1" applyBorder="1" applyAlignment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b/>
      </font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C1F0C8"/>
          <bgColor rgb="FFC1F0C8"/>
        </patternFill>
      </fill>
    </dxf>
    <dxf>
      <fill>
        <patternFill patternType="solid">
          <fgColor rgb="FFC1F0C8"/>
          <bgColor rgb="FFC1F0C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88CDB-7D3E-4693-9050-C8E2AC7CD648}">
  <dimension ref="A1:AZ37"/>
  <sheetViews>
    <sheetView tabSelected="1" workbookViewId="0">
      <selection activeCell="G27" sqref="G27"/>
    </sheetView>
  </sheetViews>
  <sheetFormatPr defaultRowHeight="15" x14ac:dyDescent="0.25"/>
  <cols>
    <col min="1" max="1" width="9.140625" style="16"/>
    <col min="2" max="2" width="9.140625" style="17"/>
    <col min="3" max="3" width="7.140625" style="16" customWidth="1"/>
    <col min="4" max="4" width="10.42578125" style="16" customWidth="1"/>
    <col min="5" max="7" width="11.28515625" style="16" customWidth="1"/>
    <col min="8" max="8" width="9.140625" style="16"/>
    <col min="9" max="9" width="15.42578125" style="16" customWidth="1"/>
    <col min="10" max="10" width="14.5703125" style="16" customWidth="1"/>
    <col min="11" max="11" width="24.28515625" style="16" customWidth="1"/>
    <col min="12" max="12" width="18.42578125" style="16" customWidth="1"/>
    <col min="13" max="13" width="13.140625" style="16" customWidth="1"/>
    <col min="14" max="14" width="15.5703125" style="16" customWidth="1"/>
    <col min="15" max="15" width="17.42578125" style="16" customWidth="1"/>
    <col min="16" max="16" width="37.140625" style="16" customWidth="1"/>
    <col min="17" max="35" width="9.140625" style="16"/>
    <col min="36" max="36" width="16.28515625" style="16" customWidth="1"/>
    <col min="37" max="37" width="15.42578125" style="16" customWidth="1"/>
    <col min="38" max="16384" width="9.140625" style="16"/>
  </cols>
  <sheetData>
    <row r="1" spans="1:52" s="15" customFormat="1" ht="45" customHeight="1" x14ac:dyDescent="0.2">
      <c r="A1" s="1" t="s">
        <v>0</v>
      </c>
      <c r="B1" s="2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4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4" t="s">
        <v>13</v>
      </c>
      <c r="O1" s="2" t="s">
        <v>14</v>
      </c>
      <c r="P1" s="2" t="s">
        <v>15</v>
      </c>
      <c r="Q1" s="2" t="s">
        <v>16</v>
      </c>
      <c r="R1" s="5" t="s">
        <v>17</v>
      </c>
      <c r="S1" s="5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1" t="s">
        <v>24</v>
      </c>
      <c r="Z1" s="6" t="s">
        <v>25</v>
      </c>
      <c r="AA1" s="20" t="s">
        <v>70</v>
      </c>
      <c r="AB1" s="7" t="s">
        <v>26</v>
      </c>
      <c r="AC1" s="8" t="s">
        <v>27</v>
      </c>
      <c r="AD1" s="9" t="s">
        <v>28</v>
      </c>
      <c r="AE1" s="10" t="s">
        <v>29</v>
      </c>
      <c r="AF1" s="7" t="s">
        <v>30</v>
      </c>
      <c r="AG1" s="11" t="s">
        <v>31</v>
      </c>
      <c r="AH1" s="7" t="s">
        <v>32</v>
      </c>
      <c r="AI1" s="7" t="s">
        <v>33</v>
      </c>
      <c r="AJ1" s="7" t="s">
        <v>34</v>
      </c>
      <c r="AK1" s="2" t="s">
        <v>35</v>
      </c>
      <c r="AL1" s="2" t="s">
        <v>36</v>
      </c>
      <c r="AM1" s="12" t="s">
        <v>37</v>
      </c>
      <c r="AN1" s="2" t="s">
        <v>38</v>
      </c>
      <c r="AO1" s="2" t="s">
        <v>39</v>
      </c>
      <c r="AP1" s="2" t="s">
        <v>40</v>
      </c>
      <c r="AQ1" s="1" t="s">
        <v>41</v>
      </c>
      <c r="AR1" s="13" t="s">
        <v>42</v>
      </c>
      <c r="AS1" s="2" t="s">
        <v>43</v>
      </c>
      <c r="AT1" s="2" t="s">
        <v>44</v>
      </c>
      <c r="AU1" s="14" t="s">
        <v>45</v>
      </c>
      <c r="AV1" s="14" t="s">
        <v>46</v>
      </c>
      <c r="AW1" s="2" t="s">
        <v>47</v>
      </c>
      <c r="AX1" s="2" t="s">
        <v>48</v>
      </c>
      <c r="AY1" s="2" t="s">
        <v>49</v>
      </c>
      <c r="AZ1" s="2" t="s">
        <v>50</v>
      </c>
    </row>
    <row r="2" spans="1:52" x14ac:dyDescent="0.25">
      <c r="B2" s="17">
        <v>1</v>
      </c>
      <c r="D2" s="17" t="s">
        <v>51</v>
      </c>
      <c r="E2" s="19">
        <v>46003</v>
      </c>
      <c r="F2" s="18">
        <v>46037</v>
      </c>
      <c r="G2" s="18">
        <v>46039</v>
      </c>
      <c r="I2" s="16" t="s">
        <v>69</v>
      </c>
      <c r="J2" s="17" t="s">
        <v>65</v>
      </c>
      <c r="K2" s="16" t="s">
        <v>64</v>
      </c>
      <c r="L2" s="16" t="s">
        <v>64</v>
      </c>
      <c r="N2" s="17" t="s">
        <v>63</v>
      </c>
      <c r="O2" s="16" t="s">
        <v>52</v>
      </c>
      <c r="P2" s="16" t="s">
        <v>62</v>
      </c>
      <c r="Y2" s="16">
        <v>100</v>
      </c>
      <c r="Z2" s="16">
        <v>59</v>
      </c>
      <c r="AA2" s="16">
        <f>59+7</f>
        <v>66</v>
      </c>
    </row>
    <row r="3" spans="1:52" x14ac:dyDescent="0.25">
      <c r="B3" s="17">
        <v>1.01</v>
      </c>
      <c r="D3" s="17" t="s">
        <v>51</v>
      </c>
      <c r="E3" s="19">
        <v>46003</v>
      </c>
      <c r="F3" s="18">
        <v>46037</v>
      </c>
      <c r="G3" s="18">
        <v>46039</v>
      </c>
      <c r="I3" s="16" t="s">
        <v>69</v>
      </c>
      <c r="J3" s="17" t="s">
        <v>65</v>
      </c>
      <c r="K3" s="16" t="s">
        <v>64</v>
      </c>
      <c r="L3" s="16" t="s">
        <v>64</v>
      </c>
      <c r="N3" s="17" t="s">
        <v>63</v>
      </c>
      <c r="O3" s="16" t="s">
        <v>53</v>
      </c>
      <c r="P3" s="16" t="s">
        <v>62</v>
      </c>
      <c r="Y3" s="16">
        <v>100</v>
      </c>
      <c r="Z3" s="16">
        <v>24</v>
      </c>
      <c r="AA3" s="16">
        <v>24</v>
      </c>
    </row>
    <row r="4" spans="1:52" x14ac:dyDescent="0.25">
      <c r="B4" s="17">
        <v>1.02</v>
      </c>
      <c r="D4" s="17" t="s">
        <v>51</v>
      </c>
      <c r="E4" s="19">
        <v>46003</v>
      </c>
      <c r="F4" s="18">
        <v>46037</v>
      </c>
      <c r="G4" s="18">
        <v>46039</v>
      </c>
      <c r="I4" s="16" t="s">
        <v>69</v>
      </c>
      <c r="J4" s="17" t="s">
        <v>65</v>
      </c>
      <c r="K4" s="16" t="s">
        <v>64</v>
      </c>
      <c r="L4" s="16" t="s">
        <v>64</v>
      </c>
      <c r="N4" s="17" t="s">
        <v>63</v>
      </c>
      <c r="O4" s="16" t="s">
        <v>54</v>
      </c>
      <c r="P4" s="16" t="s">
        <v>62</v>
      </c>
      <c r="Y4" s="16">
        <v>100</v>
      </c>
      <c r="Z4" s="16">
        <v>15</v>
      </c>
      <c r="AA4" s="16">
        <v>15</v>
      </c>
    </row>
    <row r="5" spans="1:52" x14ac:dyDescent="0.25">
      <c r="B5" s="17">
        <v>1.03</v>
      </c>
      <c r="D5" s="17" t="s">
        <v>51</v>
      </c>
      <c r="E5" s="19">
        <v>46003</v>
      </c>
      <c r="F5" s="18">
        <v>46037</v>
      </c>
      <c r="G5" s="18">
        <v>46039</v>
      </c>
      <c r="I5" s="16" t="s">
        <v>69</v>
      </c>
      <c r="J5" s="17" t="s">
        <v>65</v>
      </c>
      <c r="K5" s="16" t="s">
        <v>64</v>
      </c>
      <c r="L5" s="16" t="s">
        <v>64</v>
      </c>
      <c r="N5" s="17" t="s">
        <v>63</v>
      </c>
      <c r="O5" s="16" t="s">
        <v>55</v>
      </c>
      <c r="P5" s="16" t="s">
        <v>62</v>
      </c>
      <c r="Y5" s="16">
        <v>100</v>
      </c>
      <c r="Z5" s="16">
        <v>39</v>
      </c>
      <c r="AA5" s="16">
        <v>39</v>
      </c>
    </row>
    <row r="6" spans="1:52" x14ac:dyDescent="0.25">
      <c r="B6" s="17">
        <v>1.04</v>
      </c>
      <c r="D6" s="17" t="s">
        <v>51</v>
      </c>
      <c r="E6" s="19">
        <v>46003</v>
      </c>
      <c r="F6" s="18">
        <v>46037</v>
      </c>
      <c r="G6" s="18">
        <v>46039</v>
      </c>
      <c r="I6" s="16" t="s">
        <v>69</v>
      </c>
      <c r="J6" s="17" t="s">
        <v>65</v>
      </c>
      <c r="K6" s="16" t="s">
        <v>64</v>
      </c>
      <c r="L6" s="16" t="s">
        <v>64</v>
      </c>
      <c r="N6" s="17" t="s">
        <v>63</v>
      </c>
      <c r="O6" s="16" t="s">
        <v>56</v>
      </c>
      <c r="P6" s="16" t="s">
        <v>62</v>
      </c>
      <c r="Y6" s="16">
        <v>100</v>
      </c>
      <c r="Z6" s="16">
        <v>15</v>
      </c>
      <c r="AA6" s="16">
        <v>15</v>
      </c>
    </row>
    <row r="7" spans="1:52" x14ac:dyDescent="0.25">
      <c r="B7" s="17">
        <v>1.05</v>
      </c>
      <c r="D7" s="17" t="s">
        <v>51</v>
      </c>
      <c r="E7" s="19">
        <v>46003</v>
      </c>
      <c r="F7" s="18">
        <v>46037</v>
      </c>
      <c r="G7" s="18">
        <v>46039</v>
      </c>
      <c r="I7" s="16" t="s">
        <v>69</v>
      </c>
      <c r="J7" s="17" t="s">
        <v>65</v>
      </c>
      <c r="K7" s="16" t="s">
        <v>64</v>
      </c>
      <c r="L7" s="16" t="s">
        <v>64</v>
      </c>
      <c r="N7" s="17" t="s">
        <v>63</v>
      </c>
      <c r="O7" s="16" t="s">
        <v>57</v>
      </c>
      <c r="P7" s="16" t="s">
        <v>62</v>
      </c>
      <c r="Y7" s="16">
        <v>100</v>
      </c>
      <c r="Z7" s="16">
        <v>16</v>
      </c>
      <c r="AA7" s="16">
        <v>16</v>
      </c>
    </row>
    <row r="8" spans="1:52" x14ac:dyDescent="0.25">
      <c r="B8" s="17">
        <v>1.06</v>
      </c>
      <c r="D8" s="17" t="s">
        <v>51</v>
      </c>
      <c r="E8" s="19">
        <v>46003</v>
      </c>
      <c r="F8" s="18">
        <v>46037</v>
      </c>
      <c r="G8" s="18">
        <v>46039</v>
      </c>
      <c r="I8" s="16" t="s">
        <v>69</v>
      </c>
      <c r="J8" s="17" t="s">
        <v>65</v>
      </c>
      <c r="K8" s="16" t="s">
        <v>64</v>
      </c>
      <c r="L8" s="16" t="s">
        <v>64</v>
      </c>
      <c r="N8" s="17" t="s">
        <v>63</v>
      </c>
      <c r="O8" s="16" t="s">
        <v>58</v>
      </c>
      <c r="P8" s="16" t="s">
        <v>62</v>
      </c>
      <c r="Y8" s="16">
        <v>100</v>
      </c>
      <c r="Z8" s="16">
        <v>7</v>
      </c>
      <c r="AA8" s="16">
        <v>7</v>
      </c>
    </row>
    <row r="9" spans="1:52" x14ac:dyDescent="0.25">
      <c r="B9" s="17">
        <v>1.07</v>
      </c>
      <c r="D9" s="17" t="s">
        <v>51</v>
      </c>
      <c r="E9" s="19">
        <v>46003</v>
      </c>
      <c r="F9" s="18">
        <v>46037</v>
      </c>
      <c r="G9" s="18">
        <v>46039</v>
      </c>
      <c r="I9" s="16" t="s">
        <v>69</v>
      </c>
      <c r="J9" s="17" t="s">
        <v>65</v>
      </c>
      <c r="K9" s="16" t="s">
        <v>64</v>
      </c>
      <c r="L9" s="16" t="s">
        <v>64</v>
      </c>
      <c r="N9" s="17" t="s">
        <v>63</v>
      </c>
      <c r="O9" s="16" t="s">
        <v>59</v>
      </c>
      <c r="P9" s="16" t="s">
        <v>62</v>
      </c>
      <c r="Y9" s="16">
        <v>100</v>
      </c>
      <c r="Z9" s="16">
        <v>3</v>
      </c>
      <c r="AA9" s="16">
        <v>3</v>
      </c>
    </row>
    <row r="10" spans="1:52" x14ac:dyDescent="0.25">
      <c r="B10" s="17">
        <v>1.08</v>
      </c>
      <c r="D10" s="17" t="s">
        <v>51</v>
      </c>
      <c r="E10" s="19">
        <v>46003</v>
      </c>
      <c r="F10" s="18">
        <v>46037</v>
      </c>
      <c r="G10" s="18">
        <v>46039</v>
      </c>
      <c r="I10" s="16" t="s">
        <v>69</v>
      </c>
      <c r="J10" s="17" t="s">
        <v>65</v>
      </c>
      <c r="K10" s="16" t="s">
        <v>64</v>
      </c>
      <c r="L10" s="16" t="s">
        <v>64</v>
      </c>
      <c r="N10" s="17" t="s">
        <v>63</v>
      </c>
      <c r="O10" s="16" t="s">
        <v>60</v>
      </c>
      <c r="P10" s="16" t="s">
        <v>62</v>
      </c>
      <c r="Y10" s="16">
        <v>100</v>
      </c>
      <c r="Z10" s="16">
        <v>11</v>
      </c>
      <c r="AA10" s="16">
        <v>11</v>
      </c>
    </row>
    <row r="11" spans="1:52" x14ac:dyDescent="0.25">
      <c r="B11" s="17">
        <v>1.0900000000000001</v>
      </c>
      <c r="D11" s="17" t="s">
        <v>51</v>
      </c>
      <c r="E11" s="19">
        <v>46003</v>
      </c>
      <c r="F11" s="18">
        <v>46037</v>
      </c>
      <c r="G11" s="18">
        <v>46039</v>
      </c>
      <c r="I11" s="16" t="s">
        <v>69</v>
      </c>
      <c r="J11" s="17" t="s">
        <v>65</v>
      </c>
      <c r="K11" s="16" t="s">
        <v>64</v>
      </c>
      <c r="L11" s="16" t="s">
        <v>64</v>
      </c>
      <c r="N11" s="17" t="s">
        <v>63</v>
      </c>
      <c r="O11" s="16" t="s">
        <v>61</v>
      </c>
      <c r="P11" s="16" t="s">
        <v>62</v>
      </c>
      <c r="Y11" s="16">
        <v>100</v>
      </c>
      <c r="Z11" s="16">
        <v>4</v>
      </c>
      <c r="AA11" s="16">
        <v>4</v>
      </c>
    </row>
    <row r="12" spans="1:52" x14ac:dyDescent="0.25">
      <c r="B12" s="17">
        <v>1.1000000000000001</v>
      </c>
      <c r="D12" s="17" t="s">
        <v>51</v>
      </c>
      <c r="E12" s="19">
        <v>46003</v>
      </c>
      <c r="F12" s="18">
        <v>46037</v>
      </c>
      <c r="G12" s="18">
        <v>46039</v>
      </c>
      <c r="I12" s="16" t="s">
        <v>69</v>
      </c>
      <c r="J12" s="17" t="s">
        <v>65</v>
      </c>
      <c r="K12" s="16" t="s">
        <v>64</v>
      </c>
      <c r="L12" s="16" t="s">
        <v>64</v>
      </c>
      <c r="N12" s="17" t="s">
        <v>63</v>
      </c>
      <c r="O12" s="16" t="s">
        <v>52</v>
      </c>
      <c r="P12" s="16" t="s">
        <v>62</v>
      </c>
      <c r="Y12" s="16">
        <v>100</v>
      </c>
      <c r="Z12" s="16">
        <v>144</v>
      </c>
      <c r="AA12" s="16">
        <f>144+41</f>
        <v>185</v>
      </c>
    </row>
    <row r="13" spans="1:52" x14ac:dyDescent="0.25">
      <c r="B13" s="17">
        <v>1.1100000000000001</v>
      </c>
      <c r="D13" s="17" t="s">
        <v>51</v>
      </c>
      <c r="E13" s="19">
        <v>46003</v>
      </c>
      <c r="F13" s="18">
        <v>46037</v>
      </c>
      <c r="G13" s="18">
        <v>46039</v>
      </c>
      <c r="I13" s="16" t="s">
        <v>69</v>
      </c>
      <c r="J13" s="17" t="s">
        <v>65</v>
      </c>
      <c r="K13" s="16" t="s">
        <v>64</v>
      </c>
      <c r="L13" s="16" t="s">
        <v>64</v>
      </c>
      <c r="N13" s="17" t="s">
        <v>63</v>
      </c>
      <c r="O13" s="16" t="s">
        <v>53</v>
      </c>
      <c r="P13" s="16" t="s">
        <v>62</v>
      </c>
      <c r="Y13" s="16">
        <v>100</v>
      </c>
      <c r="Z13" s="16">
        <v>54</v>
      </c>
      <c r="AA13" s="16">
        <v>54</v>
      </c>
    </row>
    <row r="14" spans="1:52" x14ac:dyDescent="0.25">
      <c r="B14" s="17">
        <v>1.1200000000000001</v>
      </c>
      <c r="D14" s="17" t="s">
        <v>51</v>
      </c>
      <c r="E14" s="19">
        <v>46003</v>
      </c>
      <c r="F14" s="18">
        <v>46037</v>
      </c>
      <c r="G14" s="18">
        <v>46039</v>
      </c>
      <c r="I14" s="16" t="s">
        <v>69</v>
      </c>
      <c r="J14" s="17" t="s">
        <v>65</v>
      </c>
      <c r="K14" s="16" t="s">
        <v>64</v>
      </c>
      <c r="L14" s="16" t="s">
        <v>64</v>
      </c>
      <c r="N14" s="17" t="s">
        <v>63</v>
      </c>
      <c r="O14" s="16" t="s">
        <v>54</v>
      </c>
      <c r="P14" s="16" t="s">
        <v>62</v>
      </c>
      <c r="Y14" s="16">
        <v>100</v>
      </c>
      <c r="Z14" s="16">
        <v>36</v>
      </c>
      <c r="AA14" s="16">
        <v>36</v>
      </c>
    </row>
    <row r="15" spans="1:52" x14ac:dyDescent="0.25">
      <c r="B15" s="17">
        <v>1.1299999999999999</v>
      </c>
      <c r="D15" s="17" t="s">
        <v>51</v>
      </c>
      <c r="E15" s="19">
        <v>46003</v>
      </c>
      <c r="F15" s="18">
        <v>46037</v>
      </c>
      <c r="G15" s="18">
        <v>46039</v>
      </c>
      <c r="I15" s="16" t="s">
        <v>69</v>
      </c>
      <c r="J15" s="17" t="s">
        <v>65</v>
      </c>
      <c r="K15" s="16" t="s">
        <v>64</v>
      </c>
      <c r="L15" s="16" t="s">
        <v>64</v>
      </c>
      <c r="N15" s="17" t="s">
        <v>63</v>
      </c>
      <c r="O15" s="16" t="s">
        <v>55</v>
      </c>
      <c r="P15" s="16" t="s">
        <v>62</v>
      </c>
      <c r="Y15" s="16">
        <v>100</v>
      </c>
      <c r="Z15" s="16">
        <v>92</v>
      </c>
      <c r="AA15" s="16">
        <v>92</v>
      </c>
    </row>
    <row r="16" spans="1:52" x14ac:dyDescent="0.25">
      <c r="B16" s="17">
        <v>1.1399999999999999</v>
      </c>
      <c r="D16" s="17" t="s">
        <v>51</v>
      </c>
      <c r="E16" s="19">
        <v>46003</v>
      </c>
      <c r="F16" s="18">
        <v>46037</v>
      </c>
      <c r="G16" s="18">
        <v>46039</v>
      </c>
      <c r="I16" s="16" t="s">
        <v>69</v>
      </c>
      <c r="J16" s="17" t="s">
        <v>65</v>
      </c>
      <c r="K16" s="16" t="s">
        <v>64</v>
      </c>
      <c r="L16" s="16" t="s">
        <v>64</v>
      </c>
      <c r="N16" s="17" t="s">
        <v>63</v>
      </c>
      <c r="O16" s="16" t="s">
        <v>56</v>
      </c>
      <c r="P16" s="16" t="s">
        <v>62</v>
      </c>
      <c r="Y16" s="16">
        <v>100</v>
      </c>
      <c r="Z16" s="16">
        <v>37</v>
      </c>
      <c r="AA16" s="16">
        <v>37</v>
      </c>
    </row>
    <row r="17" spans="2:27" x14ac:dyDescent="0.25">
      <c r="B17" s="17">
        <v>1.1499999999999999</v>
      </c>
      <c r="D17" s="17" t="s">
        <v>51</v>
      </c>
      <c r="E17" s="19">
        <v>46003</v>
      </c>
      <c r="F17" s="18">
        <v>46037</v>
      </c>
      <c r="G17" s="18">
        <v>46039</v>
      </c>
      <c r="I17" s="16" t="s">
        <v>69</v>
      </c>
      <c r="J17" s="17" t="s">
        <v>65</v>
      </c>
      <c r="K17" s="16" t="s">
        <v>64</v>
      </c>
      <c r="L17" s="16" t="s">
        <v>64</v>
      </c>
      <c r="N17" s="17" t="s">
        <v>63</v>
      </c>
      <c r="O17" s="16" t="s">
        <v>57</v>
      </c>
      <c r="P17" s="16" t="s">
        <v>62</v>
      </c>
      <c r="Y17" s="16">
        <v>100</v>
      </c>
      <c r="Z17" s="16">
        <v>38</v>
      </c>
      <c r="AA17" s="16">
        <v>38</v>
      </c>
    </row>
    <row r="18" spans="2:27" x14ac:dyDescent="0.25">
      <c r="B18" s="17">
        <v>1.1599999999999999</v>
      </c>
      <c r="D18" s="17" t="s">
        <v>51</v>
      </c>
      <c r="E18" s="19">
        <v>46003</v>
      </c>
      <c r="F18" s="18">
        <v>46037</v>
      </c>
      <c r="G18" s="18">
        <v>46039</v>
      </c>
      <c r="I18" s="16" t="s">
        <v>69</v>
      </c>
      <c r="J18" s="17" t="s">
        <v>65</v>
      </c>
      <c r="K18" s="16" t="s">
        <v>64</v>
      </c>
      <c r="L18" s="16" t="s">
        <v>64</v>
      </c>
      <c r="N18" s="17" t="s">
        <v>63</v>
      </c>
      <c r="O18" s="16" t="s">
        <v>58</v>
      </c>
      <c r="P18" s="16" t="s">
        <v>62</v>
      </c>
      <c r="Y18" s="16">
        <v>100</v>
      </c>
      <c r="Z18" s="16">
        <v>16</v>
      </c>
      <c r="AA18" s="16">
        <v>16</v>
      </c>
    </row>
    <row r="19" spans="2:27" x14ac:dyDescent="0.25">
      <c r="B19" s="17">
        <v>1.17</v>
      </c>
      <c r="D19" s="17" t="s">
        <v>51</v>
      </c>
      <c r="E19" s="19">
        <v>46003</v>
      </c>
      <c r="F19" s="18">
        <v>46037</v>
      </c>
      <c r="G19" s="18">
        <v>46039</v>
      </c>
      <c r="I19" s="16" t="s">
        <v>69</v>
      </c>
      <c r="J19" s="17" t="s">
        <v>65</v>
      </c>
      <c r="K19" s="16" t="s">
        <v>64</v>
      </c>
      <c r="L19" s="16" t="s">
        <v>64</v>
      </c>
      <c r="N19" s="17" t="s">
        <v>63</v>
      </c>
      <c r="O19" s="16" t="s">
        <v>59</v>
      </c>
      <c r="P19" s="16" t="s">
        <v>62</v>
      </c>
      <c r="Y19" s="16">
        <v>100</v>
      </c>
      <c r="Z19" s="16">
        <v>7</v>
      </c>
      <c r="AA19" s="16">
        <v>7</v>
      </c>
    </row>
    <row r="20" spans="2:27" x14ac:dyDescent="0.25">
      <c r="B20" s="17">
        <v>1.18</v>
      </c>
      <c r="D20" s="17" t="s">
        <v>51</v>
      </c>
      <c r="E20" s="19">
        <v>46003</v>
      </c>
      <c r="F20" s="18">
        <v>46037</v>
      </c>
      <c r="G20" s="18">
        <v>46039</v>
      </c>
      <c r="I20" s="16" t="s">
        <v>69</v>
      </c>
      <c r="J20" s="17" t="s">
        <v>65</v>
      </c>
      <c r="K20" s="16" t="s">
        <v>64</v>
      </c>
      <c r="L20" s="16" t="s">
        <v>64</v>
      </c>
      <c r="N20" s="17" t="s">
        <v>63</v>
      </c>
      <c r="O20" s="16" t="s">
        <v>60</v>
      </c>
      <c r="P20" s="16" t="s">
        <v>62</v>
      </c>
      <c r="Y20" s="16">
        <v>100</v>
      </c>
      <c r="Z20" s="16">
        <v>25</v>
      </c>
      <c r="AA20" s="16">
        <v>25</v>
      </c>
    </row>
    <row r="21" spans="2:27" x14ac:dyDescent="0.25">
      <c r="B21" s="17">
        <v>1.19</v>
      </c>
      <c r="D21" s="17" t="s">
        <v>51</v>
      </c>
      <c r="E21" s="19">
        <v>46003</v>
      </c>
      <c r="F21" s="18">
        <v>46037</v>
      </c>
      <c r="G21" s="18">
        <v>46039</v>
      </c>
      <c r="I21" s="16" t="s">
        <v>69</v>
      </c>
      <c r="J21" s="17" t="s">
        <v>65</v>
      </c>
      <c r="K21" s="16" t="s">
        <v>64</v>
      </c>
      <c r="L21" s="16" t="s">
        <v>64</v>
      </c>
      <c r="N21" s="17" t="s">
        <v>63</v>
      </c>
      <c r="O21" s="16" t="s">
        <v>61</v>
      </c>
      <c r="P21" s="16" t="s">
        <v>62</v>
      </c>
      <c r="Y21" s="16">
        <v>100</v>
      </c>
      <c r="Z21" s="16">
        <v>10</v>
      </c>
      <c r="AA21" s="16">
        <v>10</v>
      </c>
    </row>
    <row r="22" spans="2:27" x14ac:dyDescent="0.25">
      <c r="B22" s="17">
        <v>2</v>
      </c>
      <c r="D22" s="17" t="s">
        <v>51</v>
      </c>
      <c r="E22" s="19">
        <v>46006</v>
      </c>
      <c r="F22" s="21">
        <v>46084</v>
      </c>
      <c r="G22" s="21">
        <v>46086</v>
      </c>
      <c r="I22" s="16" t="s">
        <v>69</v>
      </c>
      <c r="J22" s="17" t="s">
        <v>65</v>
      </c>
      <c r="K22" s="16" t="s">
        <v>64</v>
      </c>
      <c r="L22" s="16" t="s">
        <v>64</v>
      </c>
      <c r="N22" s="17" t="s">
        <v>63</v>
      </c>
      <c r="O22" s="16" t="s">
        <v>67</v>
      </c>
      <c r="P22" s="16" t="s">
        <v>66</v>
      </c>
      <c r="Y22" s="16">
        <v>1500</v>
      </c>
      <c r="Z22" s="16">
        <v>2402</v>
      </c>
      <c r="AA22" s="16">
        <f>2402 + 128</f>
        <v>2530</v>
      </c>
    </row>
    <row r="23" spans="2:27" x14ac:dyDescent="0.25">
      <c r="B23" s="17">
        <v>2.1</v>
      </c>
      <c r="D23" s="17" t="s">
        <v>51</v>
      </c>
      <c r="E23" s="19">
        <v>46006</v>
      </c>
      <c r="F23" s="21">
        <v>46084</v>
      </c>
      <c r="G23" s="21">
        <v>46086</v>
      </c>
      <c r="I23" s="16" t="s">
        <v>69</v>
      </c>
      <c r="J23" s="17" t="s">
        <v>65</v>
      </c>
      <c r="K23" s="16" t="s">
        <v>64</v>
      </c>
      <c r="L23" s="16" t="s">
        <v>64</v>
      </c>
      <c r="N23" s="17" t="s">
        <v>63</v>
      </c>
      <c r="O23" s="16" t="s">
        <v>68</v>
      </c>
      <c r="P23" s="16" t="s">
        <v>66</v>
      </c>
      <c r="Y23" s="16">
        <v>1500</v>
      </c>
      <c r="Z23" s="16">
        <v>470</v>
      </c>
      <c r="AA23" s="16">
        <v>470</v>
      </c>
    </row>
    <row r="24" spans="2:27" x14ac:dyDescent="0.25">
      <c r="B24" s="17">
        <v>2.2000000000000002</v>
      </c>
      <c r="D24" s="17" t="s">
        <v>51</v>
      </c>
      <c r="E24" s="19">
        <v>46006</v>
      </c>
      <c r="F24" s="21">
        <v>46084</v>
      </c>
      <c r="G24" s="21">
        <v>46086</v>
      </c>
      <c r="I24" s="16" t="s">
        <v>69</v>
      </c>
      <c r="J24" s="17" t="s">
        <v>65</v>
      </c>
      <c r="K24" s="16" t="s">
        <v>64</v>
      </c>
      <c r="L24" s="16" t="s">
        <v>64</v>
      </c>
      <c r="N24" s="17" t="s">
        <v>63</v>
      </c>
      <c r="O24" s="16" t="s">
        <v>67</v>
      </c>
      <c r="P24" s="16" t="s">
        <v>66</v>
      </c>
      <c r="Y24" s="16">
        <v>100</v>
      </c>
      <c r="Z24" s="16">
        <v>507</v>
      </c>
      <c r="AA24" s="16">
        <v>514</v>
      </c>
    </row>
    <row r="25" spans="2:27" x14ac:dyDescent="0.25">
      <c r="B25" s="17">
        <v>2.2999999999999998</v>
      </c>
      <c r="D25" s="17" t="s">
        <v>51</v>
      </c>
      <c r="E25" s="19">
        <v>46006</v>
      </c>
      <c r="F25" s="21">
        <v>46084</v>
      </c>
      <c r="G25" s="21">
        <v>46086</v>
      </c>
      <c r="I25" s="16" t="s">
        <v>69</v>
      </c>
      <c r="J25" s="17" t="s">
        <v>65</v>
      </c>
      <c r="K25" s="16" t="s">
        <v>64</v>
      </c>
      <c r="L25" s="16" t="s">
        <v>64</v>
      </c>
      <c r="N25" s="17" t="s">
        <v>63</v>
      </c>
      <c r="O25" s="16" t="s">
        <v>68</v>
      </c>
      <c r="P25" s="16" t="s">
        <v>66</v>
      </c>
      <c r="Y25" s="16">
        <v>100</v>
      </c>
      <c r="Z25" s="16">
        <v>86</v>
      </c>
      <c r="AA25" s="16">
        <v>86</v>
      </c>
    </row>
    <row r="26" spans="2:27" x14ac:dyDescent="0.25">
      <c r="D26" s="17" t="s">
        <v>51</v>
      </c>
      <c r="J26" s="17" t="s">
        <v>65</v>
      </c>
    </row>
    <row r="27" spans="2:27" x14ac:dyDescent="0.25">
      <c r="D27" s="17" t="s">
        <v>51</v>
      </c>
      <c r="J27" s="17" t="s">
        <v>65</v>
      </c>
    </row>
    <row r="28" spans="2:27" x14ac:dyDescent="0.25">
      <c r="D28" s="17" t="s">
        <v>51</v>
      </c>
      <c r="J28" s="17" t="s">
        <v>65</v>
      </c>
    </row>
    <row r="29" spans="2:27" x14ac:dyDescent="0.25">
      <c r="D29" s="17" t="s">
        <v>51</v>
      </c>
      <c r="J29" s="17" t="s">
        <v>65</v>
      </c>
    </row>
    <row r="30" spans="2:27" x14ac:dyDescent="0.25">
      <c r="D30" s="17" t="s">
        <v>51</v>
      </c>
      <c r="J30" s="17" t="s">
        <v>65</v>
      </c>
    </row>
    <row r="31" spans="2:27" x14ac:dyDescent="0.25">
      <c r="D31" s="17" t="s">
        <v>51</v>
      </c>
      <c r="J31" s="17" t="s">
        <v>65</v>
      </c>
    </row>
    <row r="32" spans="2:27" x14ac:dyDescent="0.25">
      <c r="D32" s="17" t="s">
        <v>51</v>
      </c>
      <c r="J32" s="17" t="s">
        <v>65</v>
      </c>
    </row>
    <row r="33" spans="10:10" x14ac:dyDescent="0.25">
      <c r="J33" s="17" t="s">
        <v>65</v>
      </c>
    </row>
    <row r="34" spans="10:10" x14ac:dyDescent="0.25">
      <c r="J34" s="17" t="s">
        <v>65</v>
      </c>
    </row>
    <row r="35" spans="10:10" x14ac:dyDescent="0.25">
      <c r="J35" s="17" t="s">
        <v>65</v>
      </c>
    </row>
    <row r="36" spans="10:10" x14ac:dyDescent="0.25">
      <c r="J36" s="17" t="s">
        <v>65</v>
      </c>
    </row>
    <row r="37" spans="10:10" x14ac:dyDescent="0.25">
      <c r="J37" s="17" t="s">
        <v>65</v>
      </c>
    </row>
  </sheetData>
  <phoneticPr fontId="5" type="noConversion"/>
  <conditionalFormatting sqref="D1">
    <cfRule type="containsText" dxfId="4" priority="2" operator="containsText" text="Thiếu">
      <formula>NOT(ISERROR(SEARCH(("Thiếu"),(D1))))</formula>
    </cfRule>
  </conditionalFormatting>
  <conditionalFormatting sqref="D1">
    <cfRule type="containsText" dxfId="3" priority="3" operator="containsText" text="ĐANG GIAO">
      <formula>NOT(ISERROR(SEARCH(("ĐANG GIAO"),(D1))))</formula>
    </cfRule>
  </conditionalFormatting>
  <conditionalFormatting sqref="D1">
    <cfRule type="containsText" dxfId="2" priority="4" operator="containsText" text="ICH">
      <formula>NOT(ISERROR(SEARCH(("ICH"),(D1))))</formula>
    </cfRule>
  </conditionalFormatting>
  <conditionalFormatting sqref="X1">
    <cfRule type="containsText" dxfId="1" priority="5" operator="containsText" text="met">
      <formula>NOT(ISERROR(SEARCH(("met"),(X1))))</formula>
    </cfRule>
  </conditionalFormatting>
  <conditionalFormatting sqref="B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2026-02-25T16:05:32Z</dcterms:created>
  <dcterms:modified xsi:type="dcterms:W3CDTF">2026-02-25T16:24:58Z</dcterms:modified>
</cp:coreProperties>
</file>